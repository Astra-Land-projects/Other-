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/>
  <mc:AlternateContent xmlns:mc="http://schemas.openxmlformats.org/markup-compatibility/2006">
    <mc:Choice Requires="x15">
      <x15ac:absPath xmlns:x15ac="http://schemas.microsoft.com/office/spreadsheetml/2010/11/ac" url="C:\Users\M7ehdi Ghavami\Desktop\"/>
    </mc:Choice>
  </mc:AlternateContent>
  <xr:revisionPtr revIDLastSave="0" documentId="10_ncr:8100000_{B2B78428-C1D6-401F-A18D-F5BA2966E143}" xr6:coauthVersionLast="34" xr6:coauthVersionMax="34" xr10:uidLastSave="{00000000-0000-0000-0000-000000000000}"/>
  <bookViews>
    <workbookView xWindow="0" yWindow="0" windowWidth="20490" windowHeight="7200" activeTab="1" xr2:uid="{00000000-000D-0000-FFFF-FFFF00000000}"/>
  </bookViews>
  <sheets>
    <sheet name="arya" sheetId="1" r:id="rId1"/>
    <sheet name="کارنامه" sheetId="2" r:id="rId2"/>
    <sheet name="Sheet3" sheetId="3" r:id="rId3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2" l="1"/>
  <c r="J2" i="2"/>
  <c r="I9" i="2"/>
  <c r="H5" i="2"/>
  <c r="I5" i="2" s="1"/>
  <c r="H8" i="2"/>
  <c r="I8" i="2" s="1"/>
  <c r="H10" i="2"/>
  <c r="I10" i="2" s="1"/>
  <c r="G3" i="2"/>
  <c r="H3" i="2" s="1"/>
  <c r="I3" i="2" s="1"/>
  <c r="G4" i="2"/>
  <c r="H4" i="2" s="1"/>
  <c r="I4" i="2" s="1"/>
  <c r="G5" i="2"/>
  <c r="G6" i="2"/>
  <c r="H6" i="2" s="1"/>
  <c r="I6" i="2" s="1"/>
  <c r="G7" i="2"/>
  <c r="H7" i="2" s="1"/>
  <c r="I7" i="2" s="1"/>
  <c r="G8" i="2"/>
  <c r="G9" i="2"/>
  <c r="H9" i="2" s="1"/>
  <c r="G10" i="2"/>
  <c r="G11" i="2"/>
  <c r="H11" i="2" s="1"/>
  <c r="I11" i="2" s="1"/>
  <c r="G2" i="2"/>
  <c r="H2" i="2" s="1"/>
  <c r="C3" i="1"/>
  <c r="C4" i="1"/>
  <c r="C5" i="1"/>
  <c r="C6" i="1"/>
  <c r="C2" i="1"/>
  <c r="B3" i="1"/>
  <c r="B4" i="1"/>
  <c r="B5" i="1"/>
  <c r="B6" i="1"/>
  <c r="B2" i="1"/>
  <c r="B13" i="2" l="1"/>
  <c r="B12" i="2"/>
  <c r="B15" i="2"/>
  <c r="B14" i="2"/>
  <c r="I2" i="2"/>
</calcChain>
</file>

<file path=xl/sharedStrings.xml><?xml version="1.0" encoding="utf-8"?>
<sst xmlns="http://schemas.openxmlformats.org/spreadsheetml/2006/main" count="33" uniqueCount="30">
  <si>
    <t>نام و خانوادگی</t>
  </si>
  <si>
    <t>تعداد حروف</t>
  </si>
  <si>
    <t>علی ارامشی</t>
  </si>
  <si>
    <t>مبینا سیدی</t>
  </si>
  <si>
    <t>علی قوامی</t>
  </si>
  <si>
    <t>شاهین قوامی</t>
  </si>
  <si>
    <t>اریا اسکندری</t>
  </si>
  <si>
    <t>ردیف</t>
  </si>
  <si>
    <t>نام و نام خانوادگی</t>
  </si>
  <si>
    <t>میانی</t>
  </si>
  <si>
    <t>ویندوز</t>
  </si>
  <si>
    <t>ورد</t>
  </si>
  <si>
    <t>اکسل</t>
  </si>
  <si>
    <t>جمع</t>
  </si>
  <si>
    <t>معدل</t>
  </si>
  <si>
    <t>وضیعت</t>
  </si>
  <si>
    <t>اریا قوامی</t>
  </si>
  <si>
    <t>شاهین اسکندر</t>
  </si>
  <si>
    <t>مینا نانایی</t>
  </si>
  <si>
    <t>نازنین ربطی</t>
  </si>
  <si>
    <t>ساینا ساینایی</t>
  </si>
  <si>
    <t>رضا الکلی</t>
  </si>
  <si>
    <t>استیو الکلس</t>
  </si>
  <si>
    <t>اریا شاهینی</t>
  </si>
  <si>
    <t>تعداد مردود</t>
  </si>
  <si>
    <t>تعداد قبول</t>
  </si>
  <si>
    <t>پایین ترین نمره</t>
  </si>
  <si>
    <t>بالا ترین نمره</t>
  </si>
  <si>
    <t>ساعت</t>
  </si>
  <si>
    <t>تاریخ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</si>
</sst>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\ AM/PM;@"/>
    <numFmt numFmtId="165" formatCode="[$-F800]dddd\,\ mmmm\ dd\,\ yyyy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0" fontId="1" fillId="3" borderId="1" xfId="0" applyFont="1" applyFill="1" applyBorder="1"/>
    <xf numFmtId="0" fontId="1" fillId="4" borderId="1" xfId="0" applyFont="1" applyFill="1" applyBorder="1" applyAlignment="1">
      <alignment horizontal="center"/>
    </xf>
    <xf numFmtId="0" fontId="0" fillId="0" borderId="1" xfId="0" applyNumberFormat="1" applyBorder="1"/>
    <xf numFmtId="0" fontId="0" fillId="0" borderId="0" xfId="0" applyAlignment="1">
      <alignment horizontal="center"/>
    </xf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9" borderId="1" xfId="0" applyFont="1" applyFill="1" applyBorder="1"/>
    <xf numFmtId="0" fontId="1" fillId="2" borderId="1" xfId="0" applyFont="1" applyFill="1" applyBorder="1"/>
    <xf numFmtId="164" fontId="1" fillId="0" borderId="1" xfId="0" applyNumberFormat="1" applyFont="1" applyBorder="1"/>
    <xf numFmtId="165" fontId="1" fillId="3" borderId="1" xfId="0" applyNumberFormat="1" applyFont="1" applyFill="1" applyBorder="1"/>
    <xf numFmtId="165" fontId="1" fillId="0" borderId="1" xfId="0" applyNumberFormat="1" applyFont="1" applyBorder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rightToLeft="1" workbookViewId="0">
      <selection activeCell="C2" sqref="C2"/>
    </sheetView>
  </sheetViews>
  <sheetFormatPr defaultRowHeight="15" x14ac:dyDescent="0.25"/>
  <cols>
    <col min="1" max="1" width="17" customWidth="1"/>
    <col min="2" max="2" width="13.28515625" customWidth="1"/>
    <col min="3" max="3" width="21" customWidth="1"/>
  </cols>
  <sheetData>
    <row r="1" spans="1:9" ht="15.75" x14ac:dyDescent="0.25">
      <c r="A1" s="3" t="s">
        <v>0</v>
      </c>
      <c r="B1" s="3" t="s">
        <v>1</v>
      </c>
      <c r="C1" s="3" t="s">
        <v>0</v>
      </c>
      <c r="D1" s="3"/>
      <c r="E1" s="3"/>
      <c r="F1" s="3"/>
      <c r="G1" s="3"/>
      <c r="H1" s="3"/>
      <c r="I1" s="3"/>
    </row>
    <row r="2" spans="1:9" ht="15.75" x14ac:dyDescent="0.25">
      <c r="A2" s="1" t="s">
        <v>2</v>
      </c>
      <c r="B2" s="1">
        <f>LEN(A2)</f>
        <v>10</v>
      </c>
      <c r="C2" s="1" t="str">
        <f>MID(A2,1,5)</f>
        <v>علی ا</v>
      </c>
      <c r="D2" s="1"/>
      <c r="E2" s="1"/>
      <c r="F2" s="1"/>
      <c r="G2" s="1"/>
      <c r="H2" s="1"/>
      <c r="I2" s="1"/>
    </row>
    <row r="3" spans="1:9" ht="15.75" x14ac:dyDescent="0.25">
      <c r="A3" s="1" t="s">
        <v>3</v>
      </c>
      <c r="B3" s="1">
        <f t="shared" ref="B3:B6" si="0">LEN(A3)</f>
        <v>10</v>
      </c>
      <c r="C3" s="1" t="str">
        <f t="shared" ref="C3:C6" si="1">MID(A3,1,5)</f>
        <v>مبینا</v>
      </c>
      <c r="D3" s="1"/>
      <c r="E3" s="1"/>
      <c r="F3" s="1"/>
      <c r="G3" s="1"/>
      <c r="H3" s="1"/>
      <c r="I3" s="1"/>
    </row>
    <row r="4" spans="1:9" ht="15.75" x14ac:dyDescent="0.25">
      <c r="A4" s="1" t="s">
        <v>4</v>
      </c>
      <c r="B4" s="1">
        <f t="shared" si="0"/>
        <v>9</v>
      </c>
      <c r="C4" s="1" t="str">
        <f t="shared" si="1"/>
        <v>علی ق</v>
      </c>
      <c r="D4" s="1"/>
      <c r="E4" s="1"/>
      <c r="F4" s="1"/>
      <c r="G4" s="1"/>
      <c r="H4" s="1"/>
      <c r="I4" s="1"/>
    </row>
    <row r="5" spans="1:9" ht="15.75" x14ac:dyDescent="0.25">
      <c r="A5" s="1" t="s">
        <v>5</v>
      </c>
      <c r="B5" s="1">
        <f t="shared" si="0"/>
        <v>11</v>
      </c>
      <c r="C5" s="1" t="str">
        <f t="shared" si="1"/>
        <v>شاهین</v>
      </c>
      <c r="D5" s="1"/>
      <c r="E5" s="1"/>
      <c r="F5" s="1"/>
      <c r="G5" s="1"/>
      <c r="H5" s="1"/>
      <c r="I5" s="1"/>
    </row>
    <row r="6" spans="1:9" ht="15.75" x14ac:dyDescent="0.25">
      <c r="A6" s="1" t="s">
        <v>6</v>
      </c>
      <c r="B6" s="1">
        <f t="shared" si="0"/>
        <v>12</v>
      </c>
      <c r="C6" s="1" t="str">
        <f t="shared" si="1"/>
        <v xml:space="preserve">اریا </v>
      </c>
      <c r="D6" s="1"/>
      <c r="E6" s="1"/>
      <c r="F6" s="1"/>
      <c r="G6" s="1"/>
      <c r="H6" s="1"/>
      <c r="I6" s="1"/>
    </row>
    <row r="7" spans="1:9" ht="15.75" x14ac:dyDescent="0.25">
      <c r="A7" s="1"/>
      <c r="B7" s="1"/>
      <c r="C7" s="1"/>
      <c r="D7" s="1"/>
      <c r="E7" s="1"/>
      <c r="F7" s="1"/>
      <c r="G7" s="1"/>
      <c r="H7" s="1"/>
      <c r="I7" s="1"/>
    </row>
    <row r="8" spans="1:9" ht="15.75" x14ac:dyDescent="0.25">
      <c r="A8" s="1"/>
      <c r="B8" s="1"/>
      <c r="C8" s="1"/>
      <c r="D8" s="1"/>
      <c r="E8" s="1"/>
      <c r="F8" s="1"/>
      <c r="G8" s="1"/>
      <c r="H8" s="1"/>
      <c r="I8" s="1"/>
    </row>
    <row r="9" spans="1:9" ht="15.75" x14ac:dyDescent="0.25">
      <c r="A9" s="1"/>
      <c r="B9" s="1"/>
      <c r="C9" s="1"/>
      <c r="D9" s="1"/>
      <c r="E9" s="1"/>
      <c r="F9" s="1"/>
      <c r="G9" s="1"/>
      <c r="H9" s="1"/>
      <c r="I9" s="1"/>
    </row>
    <row r="10" spans="1:9" ht="15.75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ht="15.75" x14ac:dyDescent="0.25">
      <c r="A11" s="1"/>
      <c r="B11" s="1"/>
      <c r="C11" s="1"/>
      <c r="D11" s="1"/>
      <c r="E11" s="1"/>
      <c r="F11" s="1"/>
      <c r="G11" s="1"/>
      <c r="H11" s="1"/>
      <c r="I11" s="1"/>
    </row>
    <row r="12" spans="1:9" ht="15.75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ht="15.75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ht="15.75" x14ac:dyDescent="0.25">
      <c r="A14" s="1"/>
      <c r="B14" s="1"/>
      <c r="C14" s="1"/>
      <c r="D14" s="1"/>
      <c r="E14" s="1"/>
      <c r="F14" s="1"/>
      <c r="G14" s="1"/>
      <c r="H14" s="1"/>
      <c r="I14" s="1"/>
    </row>
    <row r="15" spans="1:9" ht="15.75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ht="15.75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ht="15.75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ht="15.75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ht="15.75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ht="15.75" x14ac:dyDescent="0.25">
      <c r="A20" s="1"/>
      <c r="B20" s="1"/>
      <c r="C20" s="1"/>
      <c r="D20" s="1"/>
      <c r="E20" s="1"/>
      <c r="F20" s="1"/>
      <c r="G20" s="1"/>
      <c r="H20" s="1"/>
      <c r="I20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"/>
  <sheetViews>
    <sheetView rightToLeft="1" tabSelected="1" topLeftCell="C1" workbookViewId="0">
      <selection activeCell="J5" sqref="J5"/>
    </sheetView>
  </sheetViews>
  <sheetFormatPr defaultRowHeight="15" x14ac:dyDescent="0.25"/>
  <cols>
    <col min="1" max="1" width="13.5703125" customWidth="1"/>
    <col min="2" max="2" width="17.28515625" customWidth="1"/>
    <col min="7" max="7" width="8.28515625" customWidth="1"/>
    <col min="8" max="8" width="9.28515625" customWidth="1"/>
    <col min="9" max="9" width="12.85546875" style="8" customWidth="1"/>
    <col min="10" max="10" width="12.85546875" customWidth="1"/>
    <col min="11" max="11" width="30.42578125" customWidth="1"/>
    <col min="12" max="12" width="14" customWidth="1"/>
  </cols>
  <sheetData>
    <row r="1" spans="1:11" ht="15.75" x14ac:dyDescent="0.25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12</v>
      </c>
      <c r="G1" s="5" t="s">
        <v>13</v>
      </c>
      <c r="H1" s="5" t="s">
        <v>14</v>
      </c>
      <c r="I1" s="3" t="s">
        <v>15</v>
      </c>
      <c r="J1" s="9" t="s">
        <v>28</v>
      </c>
      <c r="K1" s="16" t="s">
        <v>29</v>
      </c>
    </row>
    <row r="2" spans="1:11" ht="15.75" x14ac:dyDescent="0.25">
      <c r="A2" s="6">
        <v>1</v>
      </c>
      <c r="B2" s="2" t="s">
        <v>16</v>
      </c>
      <c r="C2" s="4">
        <v>20</v>
      </c>
      <c r="D2" s="4">
        <v>17</v>
      </c>
      <c r="E2" s="4">
        <v>13</v>
      </c>
      <c r="F2" s="4">
        <v>20</v>
      </c>
      <c r="G2" s="2">
        <f>SUM(C2+D2+E2+F2)</f>
        <v>70</v>
      </c>
      <c r="H2" s="2">
        <f>G2/4</f>
        <v>17.5</v>
      </c>
      <c r="I2" s="1" t="str">
        <f>IF(H2&gt;=10,"قبول","مردود")</f>
        <v>قبول</v>
      </c>
      <c r="J2" s="15">
        <f ca="1">NOW()</f>
        <v>45868.60674166667</v>
      </c>
      <c r="K2" s="17">
        <f ca="1">NOW()</f>
        <v>45868.60674166667</v>
      </c>
    </row>
    <row r="3" spans="1:11" ht="15.75" x14ac:dyDescent="0.25">
      <c r="A3" s="6">
        <v>2</v>
      </c>
      <c r="B3" s="2" t="s">
        <v>17</v>
      </c>
      <c r="C3" s="4">
        <v>19</v>
      </c>
      <c r="D3" s="4">
        <v>14</v>
      </c>
      <c r="E3" s="4">
        <v>14</v>
      </c>
      <c r="F3" s="4">
        <v>18</v>
      </c>
      <c r="G3" s="2">
        <f t="shared" ref="G3:G11" si="0">SUM(C3+D3+E3+F3)</f>
        <v>65</v>
      </c>
      <c r="H3" s="2">
        <f t="shared" ref="H3:H11" si="1">G3/4</f>
        <v>16.25</v>
      </c>
      <c r="I3" s="1" t="str">
        <f t="shared" ref="I3:I11" si="2">IF(H3&gt;=10,"قبول","مردود")</f>
        <v>قبول</v>
      </c>
      <c r="J3" s="15"/>
      <c r="K3" s="17"/>
    </row>
    <row r="4" spans="1:11" ht="15.75" x14ac:dyDescent="0.25">
      <c r="A4" s="6">
        <v>3</v>
      </c>
      <c r="B4" s="2" t="s">
        <v>4</v>
      </c>
      <c r="C4" s="4">
        <v>18</v>
      </c>
      <c r="D4" s="4">
        <v>3</v>
      </c>
      <c r="E4" s="4">
        <v>11</v>
      </c>
      <c r="F4" s="4">
        <v>5</v>
      </c>
      <c r="G4" s="2">
        <f t="shared" si="0"/>
        <v>37</v>
      </c>
      <c r="H4" s="2">
        <f t="shared" si="1"/>
        <v>9.25</v>
      </c>
      <c r="I4" s="1" t="str">
        <f t="shared" si="2"/>
        <v>مردود</v>
      </c>
      <c r="J4" s="15"/>
      <c r="K4" s="17"/>
    </row>
    <row r="5" spans="1:11" ht="15.75" x14ac:dyDescent="0.25">
      <c r="A5" s="6">
        <v>4</v>
      </c>
      <c r="B5" s="2" t="s">
        <v>18</v>
      </c>
      <c r="C5" s="4">
        <v>10</v>
      </c>
      <c r="D5" s="4">
        <v>4</v>
      </c>
      <c r="E5" s="4">
        <v>20</v>
      </c>
      <c r="F5" s="7">
        <v>3</v>
      </c>
      <c r="G5" s="2">
        <f t="shared" si="0"/>
        <v>37</v>
      </c>
      <c r="H5" s="2">
        <f t="shared" si="1"/>
        <v>9.25</v>
      </c>
      <c r="I5" s="1" t="str">
        <f t="shared" si="2"/>
        <v>مردود</v>
      </c>
      <c r="J5" s="15"/>
      <c r="K5" s="17"/>
    </row>
    <row r="6" spans="1:11" ht="15.75" x14ac:dyDescent="0.25">
      <c r="A6" s="6">
        <v>5</v>
      </c>
      <c r="B6" s="2" t="s">
        <v>19</v>
      </c>
      <c r="C6" s="4">
        <v>15</v>
      </c>
      <c r="D6" s="4">
        <v>6</v>
      </c>
      <c r="E6" s="4">
        <v>16</v>
      </c>
      <c r="F6" s="4">
        <v>14</v>
      </c>
      <c r="G6" s="2">
        <f t="shared" si="0"/>
        <v>51</v>
      </c>
      <c r="H6" s="2">
        <f t="shared" si="1"/>
        <v>12.75</v>
      </c>
      <c r="I6" s="1" t="str">
        <f t="shared" si="2"/>
        <v>قبول</v>
      </c>
      <c r="J6" s="15"/>
      <c r="K6" s="17"/>
    </row>
    <row r="7" spans="1:11" ht="15.75" x14ac:dyDescent="0.25">
      <c r="A7" s="6">
        <v>6</v>
      </c>
      <c r="B7" s="2" t="s">
        <v>20</v>
      </c>
      <c r="C7" s="2">
        <v>16</v>
      </c>
      <c r="D7" s="4">
        <v>9</v>
      </c>
      <c r="E7" s="2">
        <v>1</v>
      </c>
      <c r="F7" s="2">
        <v>15</v>
      </c>
      <c r="G7" s="2">
        <f t="shared" si="0"/>
        <v>41</v>
      </c>
      <c r="H7" s="2">
        <f t="shared" si="1"/>
        <v>10.25</v>
      </c>
      <c r="I7" s="1" t="str">
        <f t="shared" si="2"/>
        <v>قبول</v>
      </c>
      <c r="J7" s="15"/>
      <c r="K7" s="17"/>
    </row>
    <row r="8" spans="1:11" ht="15.75" x14ac:dyDescent="0.25">
      <c r="A8" s="6">
        <v>7</v>
      </c>
      <c r="B8" s="2" t="s">
        <v>21</v>
      </c>
      <c r="C8" s="2">
        <v>20</v>
      </c>
      <c r="D8" s="4">
        <v>6</v>
      </c>
      <c r="E8" s="2">
        <v>2</v>
      </c>
      <c r="F8" s="2">
        <v>18</v>
      </c>
      <c r="G8" s="2">
        <f t="shared" si="0"/>
        <v>46</v>
      </c>
      <c r="H8" s="2">
        <f t="shared" si="1"/>
        <v>11.5</v>
      </c>
      <c r="I8" s="1" t="str">
        <f t="shared" si="2"/>
        <v>قبول</v>
      </c>
      <c r="J8" s="15"/>
      <c r="K8" s="17"/>
    </row>
    <row r="9" spans="1:11" ht="15.75" x14ac:dyDescent="0.25">
      <c r="A9" s="6">
        <v>8</v>
      </c>
      <c r="B9" s="2" t="s">
        <v>22</v>
      </c>
      <c r="C9" s="2">
        <v>2</v>
      </c>
      <c r="D9" s="2">
        <v>17</v>
      </c>
      <c r="E9" s="2">
        <v>3</v>
      </c>
      <c r="F9" s="2">
        <v>2</v>
      </c>
      <c r="G9" s="2">
        <f t="shared" si="0"/>
        <v>24</v>
      </c>
      <c r="H9" s="2">
        <f t="shared" si="1"/>
        <v>6</v>
      </c>
      <c r="I9" s="1" t="str">
        <f t="shared" si="2"/>
        <v>مردود</v>
      </c>
      <c r="J9" s="15"/>
      <c r="K9" s="17"/>
    </row>
    <row r="10" spans="1:11" ht="15.75" x14ac:dyDescent="0.25">
      <c r="A10" s="6">
        <v>9</v>
      </c>
      <c r="B10" s="2" t="s">
        <v>23</v>
      </c>
      <c r="C10" s="2">
        <v>8</v>
      </c>
      <c r="D10" s="2">
        <v>12</v>
      </c>
      <c r="E10" s="2">
        <v>4</v>
      </c>
      <c r="F10" s="2">
        <v>20</v>
      </c>
      <c r="G10" s="2">
        <f t="shared" si="0"/>
        <v>44</v>
      </c>
      <c r="H10" s="2">
        <f t="shared" si="1"/>
        <v>11</v>
      </c>
      <c r="I10" s="1" t="str">
        <f t="shared" si="2"/>
        <v>قبول</v>
      </c>
      <c r="J10" s="15"/>
      <c r="K10" s="17"/>
    </row>
    <row r="11" spans="1:11" ht="15.75" x14ac:dyDescent="0.25">
      <c r="A11" s="6">
        <v>10</v>
      </c>
      <c r="B11" s="2" t="s">
        <v>5</v>
      </c>
      <c r="C11" s="2">
        <v>20</v>
      </c>
      <c r="D11" s="2">
        <v>11</v>
      </c>
      <c r="E11" s="2">
        <v>5</v>
      </c>
      <c r="F11" s="2">
        <v>13</v>
      </c>
      <c r="G11" s="2">
        <f t="shared" si="0"/>
        <v>49</v>
      </c>
      <c r="H11" s="2">
        <f t="shared" si="1"/>
        <v>12.25</v>
      </c>
      <c r="I11" s="1" t="str">
        <f t="shared" si="2"/>
        <v>قبول</v>
      </c>
      <c r="J11" s="15"/>
      <c r="K11" s="17"/>
    </row>
    <row r="12" spans="1:11" ht="15.75" x14ac:dyDescent="0.25">
      <c r="A12" s="14" t="s">
        <v>26</v>
      </c>
      <c r="B12" s="10">
        <f>MIN(H2:H11)</f>
        <v>6</v>
      </c>
      <c r="C12" s="2"/>
      <c r="D12" s="2"/>
      <c r="E12" s="2"/>
      <c r="F12" s="2"/>
      <c r="G12" s="2"/>
      <c r="H12" s="2"/>
      <c r="I12" s="1"/>
      <c r="J12" s="15"/>
      <c r="K12" s="17"/>
    </row>
    <row r="13" spans="1:11" ht="15.75" x14ac:dyDescent="0.25">
      <c r="A13" s="12" t="s">
        <v>27</v>
      </c>
      <c r="B13" s="13">
        <f>MAX(H2:H11)</f>
        <v>17.5</v>
      </c>
      <c r="C13" s="2"/>
      <c r="D13" s="2"/>
      <c r="E13" s="2"/>
      <c r="F13" s="2"/>
      <c r="G13" s="2"/>
      <c r="H13" s="2"/>
      <c r="I13" s="1"/>
      <c r="J13" s="15"/>
      <c r="K13" s="17"/>
    </row>
    <row r="14" spans="1:11" ht="15.75" x14ac:dyDescent="0.25">
      <c r="A14" s="14" t="s">
        <v>24</v>
      </c>
      <c r="B14" s="10">
        <f>COUNTIF(H2:H11,"&lt;10")</f>
        <v>3</v>
      </c>
      <c r="C14" s="2"/>
      <c r="D14" s="2"/>
      <c r="E14" s="2"/>
      <c r="F14" s="2"/>
      <c r="G14" s="2"/>
      <c r="H14" s="2"/>
      <c r="I14" s="1"/>
      <c r="J14" s="15"/>
      <c r="K14" s="17"/>
    </row>
    <row r="15" spans="1:11" ht="15.75" x14ac:dyDescent="0.25">
      <c r="A15" s="12" t="s">
        <v>25</v>
      </c>
      <c r="B15" s="13">
        <f>COUNTIF(H2:H11,"&gt;=10")</f>
        <v>7</v>
      </c>
      <c r="C15" s="2"/>
      <c r="D15" s="2"/>
      <c r="E15" s="2"/>
      <c r="F15" s="2"/>
      <c r="G15" s="2"/>
      <c r="H15" s="2"/>
      <c r="I15" s="1"/>
    </row>
    <row r="16" spans="1:11" ht="15.75" x14ac:dyDescent="0.25">
      <c r="A16" s="11"/>
      <c r="B16" s="2"/>
      <c r="C16" s="2"/>
      <c r="D16" s="2"/>
      <c r="E16" s="2"/>
      <c r="F16" s="2"/>
      <c r="G16" s="2"/>
      <c r="H16" s="2"/>
      <c r="I16" s="1"/>
    </row>
    <row r="17" spans="1:9" ht="15.75" x14ac:dyDescent="0.25">
      <c r="A17" s="2"/>
      <c r="B17" s="2"/>
      <c r="C17" s="2"/>
      <c r="D17" s="2"/>
      <c r="E17" s="2"/>
      <c r="F17" s="2"/>
      <c r="G17" s="2"/>
      <c r="H17" s="2"/>
      <c r="I17" s="1"/>
    </row>
    <row r="18" spans="1:9" ht="15.75" x14ac:dyDescent="0.25">
      <c r="A18" s="2"/>
      <c r="B18" s="2"/>
      <c r="C18" s="2"/>
      <c r="D18" s="2"/>
      <c r="E18" s="2"/>
      <c r="F18" s="2"/>
      <c r="G18" s="2"/>
      <c r="H18" s="2"/>
      <c r="I18" s="1"/>
    </row>
    <row r="19" spans="1:9" ht="15.75" x14ac:dyDescent="0.25">
      <c r="A19" s="2"/>
      <c r="B19" s="2"/>
      <c r="C19" s="2"/>
      <c r="D19" s="2"/>
      <c r="E19" s="2"/>
      <c r="F19" s="2"/>
      <c r="G19" s="2"/>
      <c r="H19" s="2"/>
      <c r="I19" s="1"/>
    </row>
    <row r="20" spans="1:9" ht="15.75" x14ac:dyDescent="0.25">
      <c r="A20" s="2"/>
      <c r="B20" s="2"/>
      <c r="C20" s="2"/>
      <c r="D20" s="2"/>
      <c r="E20" s="2"/>
      <c r="F20" s="2"/>
      <c r="G20" s="2"/>
      <c r="H20" s="2"/>
      <c r="I20" s="1"/>
    </row>
    <row r="21" spans="1:9" ht="15.75" x14ac:dyDescent="0.25">
      <c r="A21" s="2"/>
      <c r="B21" s="2"/>
      <c r="C21" s="2"/>
      <c r="D21" s="2"/>
      <c r="E21" s="2"/>
      <c r="F21" s="2"/>
      <c r="G21" s="2"/>
      <c r="H21" s="2"/>
      <c r="I21" s="1"/>
    </row>
    <row r="22" spans="1:9" ht="15.75" x14ac:dyDescent="0.25">
      <c r="A22" s="2"/>
      <c r="B22" s="2"/>
      <c r="C22" s="2"/>
      <c r="D22" s="2"/>
      <c r="E22" s="2"/>
      <c r="F22" s="2"/>
      <c r="G22" s="2"/>
      <c r="H22" s="2"/>
      <c r="I22" s="1"/>
    </row>
  </sheetData>
  <conditionalFormatting sqref="I1:I1048576">
    <cfRule type="cellIs" dxfId="1" priority="2" operator="equal">
      <formula>"مردود"</formula>
    </cfRule>
  </conditionalFormatting>
  <conditionalFormatting sqref="I2:I11">
    <cfRule type="cellIs" dxfId="0" priority="1" operator="equal">
      <formula>"قبول"</formula>
    </cfRule>
  </conditionalFormatting>
  <dataValidations xWindow="242" yWindow="265" count="1">
    <dataValidation allowBlank="1" showInputMessage="1" showErrorMessage="1" errorTitle="خطا " error="با دم شیر بازی نکن بنت می زنم" promptTitle="یاد اوری" prompt="داده باید بین 0 تا 20 باشد" sqref="C2:F11" xr:uid="{00000000-0002-0000-0100-000000000000}"/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2"/>
  <sheetViews>
    <sheetView rightToLeft="1" workbookViewId="0"/>
  </sheetViews>
  <sheetFormatPr defaultRowHeight="15" x14ac:dyDescent="0.25"/>
  <sheetData>
    <row r="1" spans="1:9" ht="15.75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ht="15.75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15.75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15.75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15.75" x14ac:dyDescent="0.25">
      <c r="A5" s="1"/>
      <c r="B5" s="1"/>
      <c r="C5" s="1"/>
      <c r="D5" s="1"/>
      <c r="E5" s="1"/>
      <c r="F5" s="1"/>
      <c r="G5" s="1"/>
      <c r="H5" s="1"/>
      <c r="I5" s="1"/>
    </row>
    <row r="6" spans="1:9" ht="15.75" x14ac:dyDescent="0.25">
      <c r="A6" s="1"/>
      <c r="B6" s="1"/>
      <c r="C6" s="1"/>
      <c r="D6" s="1"/>
      <c r="E6" s="1"/>
      <c r="F6" s="1"/>
      <c r="G6" s="1"/>
      <c r="H6" s="1"/>
      <c r="I6" s="1"/>
    </row>
    <row r="7" spans="1:9" ht="15.75" x14ac:dyDescent="0.25">
      <c r="A7" s="1"/>
      <c r="B7" s="1"/>
      <c r="C7" s="1"/>
      <c r="D7" s="1"/>
      <c r="E7" s="1"/>
      <c r="F7" s="1"/>
      <c r="G7" s="1"/>
      <c r="H7" s="1"/>
      <c r="I7" s="1"/>
    </row>
    <row r="8" spans="1:9" ht="15.75" x14ac:dyDescent="0.25">
      <c r="A8" s="1"/>
      <c r="B8" s="1"/>
      <c r="C8" s="1"/>
      <c r="D8" s="1"/>
      <c r="E8" s="1"/>
      <c r="F8" s="1"/>
      <c r="G8" s="1"/>
      <c r="H8" s="1"/>
      <c r="I8" s="1"/>
    </row>
    <row r="9" spans="1:9" ht="15.75" x14ac:dyDescent="0.25">
      <c r="A9" s="1"/>
      <c r="B9" s="1"/>
      <c r="C9" s="1"/>
      <c r="D9" s="1"/>
      <c r="E9" s="1"/>
      <c r="F9" s="1"/>
      <c r="G9" s="1"/>
      <c r="H9" s="1"/>
      <c r="I9" s="1"/>
    </row>
    <row r="10" spans="1:9" ht="15.75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ht="15.75" x14ac:dyDescent="0.25">
      <c r="A11" s="1"/>
      <c r="B11" s="1"/>
      <c r="C11" s="1"/>
      <c r="D11" s="1"/>
      <c r="E11" s="1"/>
      <c r="F11" s="1"/>
      <c r="G11" s="1"/>
      <c r="H11" s="1"/>
      <c r="I11" s="1"/>
    </row>
    <row r="12" spans="1:9" ht="15.75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ht="15.75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ht="15.75" x14ac:dyDescent="0.25">
      <c r="A14" s="1"/>
      <c r="B14" s="1"/>
      <c r="C14" s="1"/>
      <c r="D14" s="1"/>
      <c r="E14" s="1"/>
      <c r="F14" s="1"/>
      <c r="G14" s="1"/>
      <c r="H14" s="1"/>
      <c r="I14" s="1"/>
    </row>
    <row r="15" spans="1:9" ht="15.75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ht="15.75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ht="15.75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ht="15.75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ht="15.75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ht="15.75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ht="15.75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15.75" x14ac:dyDescent="0.25">
      <c r="A22" s="1"/>
      <c r="B22" s="1"/>
      <c r="C22" s="1"/>
      <c r="D22" s="1"/>
      <c r="E22" s="1"/>
      <c r="F22" s="1"/>
      <c r="G22" s="1"/>
      <c r="H22" s="1"/>
      <c r="I2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arya</vt:lpstr>
      <vt:lpstr>کارنامه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M7ehdi Ghavami</cp:lastModifiedBy>
  <dcterms:created xsi:type="dcterms:W3CDTF">2025-07-19T14:40:02Z</dcterms:created>
  <dcterms:modified xsi:type="dcterms:W3CDTF">2025-07-30T11:03:49Z</dcterms:modified>
</cp:coreProperties>
</file>