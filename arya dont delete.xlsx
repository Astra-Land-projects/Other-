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on\Documents\"/>
    </mc:Choice>
  </mc:AlternateContent>
  <xr:revisionPtr revIDLastSave="0" documentId="13_ncr:1_{BDDB082E-5520-422B-8B2B-71CE7651A563}" xr6:coauthVersionLast="47" xr6:coauthVersionMax="47" xr10:uidLastSave="{00000000-0000-0000-0000-000000000000}"/>
  <bookViews>
    <workbookView xWindow="-120" yWindow="-120" windowWidth="20640" windowHeight="11160" activeTab="2" xr2:uid="{28673F33-B0EB-4153-80EB-AD07666A19EF}"/>
  </bookViews>
  <sheets>
    <sheet name="جدول" sheetId="1" r:id="rId1"/>
    <sheet name="فاکتور" sheetId="3" r:id="rId2"/>
    <sheet name="کارنامه" sheetId="4" r:id="rId3"/>
    <sheet name="arya5" sheetId="5" r:id="rId4"/>
    <sheet name="عملگرد" sheetId="2" r:id="rId5"/>
  </sheets>
  <definedNames>
    <definedName name="_xlnm._FilterDatabase" localSheetId="0" hidden="1">جدول!$A$1:$G$10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C7" i="4"/>
  <c r="B7" i="4"/>
  <c r="D7" i="4"/>
  <c r="D3" i="4"/>
  <c r="D4" i="4"/>
  <c r="D5" i="4"/>
  <c r="D6" i="4"/>
  <c r="D2" i="4"/>
  <c r="A22" i="3"/>
  <c r="A21" i="3"/>
  <c r="A20" i="3"/>
  <c r="C19" i="3"/>
  <c r="C18" i="3"/>
  <c r="C17" i="3"/>
  <c r="C16" i="3"/>
  <c r="E15" i="3"/>
  <c r="E14" i="3"/>
  <c r="D15" i="3"/>
  <c r="D14" i="3"/>
  <c r="C15" i="3"/>
  <c r="C14" i="3"/>
  <c r="E13" i="3"/>
  <c r="D13" i="3"/>
  <c r="C13" i="3"/>
  <c r="E12" i="3"/>
  <c r="D12" i="3"/>
  <c r="C12" i="3"/>
  <c r="E3" i="3"/>
  <c r="E4" i="3"/>
  <c r="E5" i="3"/>
  <c r="E6" i="3"/>
  <c r="E7" i="3"/>
  <c r="E8" i="3"/>
  <c r="E9" i="3"/>
  <c r="E10" i="3"/>
  <c r="E11" i="3"/>
  <c r="E2" i="3"/>
  <c r="T4" i="2"/>
  <c r="T3" i="2"/>
  <c r="T2" i="2"/>
  <c r="L7" i="2"/>
  <c r="L6" i="2"/>
  <c r="L5" i="2"/>
  <c r="L4" i="2"/>
  <c r="L3" i="2"/>
  <c r="L2" i="2"/>
  <c r="C5" i="2"/>
  <c r="C6" i="2"/>
  <c r="C7" i="2"/>
  <c r="C3" i="2"/>
  <c r="C4" i="2"/>
  <c r="C2" i="2"/>
</calcChain>
</file>

<file path=xl/sharedStrings.xml><?xml version="1.0" encoding="utf-8"?>
<sst xmlns="http://schemas.openxmlformats.org/spreadsheetml/2006/main" count="97" uniqueCount="91">
  <si>
    <t>نام</t>
  </si>
  <si>
    <t>ردیف</t>
  </si>
  <si>
    <t>نام و نام خانوادگی</t>
  </si>
  <si>
    <t>خانودگی</t>
  </si>
  <si>
    <t>رضا توتی</t>
  </si>
  <si>
    <t>محدیس ترکیی</t>
  </si>
  <si>
    <t>علی ارامش</t>
  </si>
  <si>
    <t>اریا شاهینی</t>
  </si>
  <si>
    <t>شاهین نیاش</t>
  </si>
  <si>
    <t>رضا</t>
  </si>
  <si>
    <t>محدیس</t>
  </si>
  <si>
    <t>علی</t>
  </si>
  <si>
    <t>اریا</t>
  </si>
  <si>
    <t>شاهین</t>
  </si>
  <si>
    <t>توتی</t>
  </si>
  <si>
    <t>ترکیی</t>
  </si>
  <si>
    <t>ارامش</t>
  </si>
  <si>
    <t>شاهینی</t>
  </si>
  <si>
    <t>نیاش</t>
  </si>
  <si>
    <t>کد ملی</t>
  </si>
  <si>
    <t>کد ملسی اختصاصی</t>
  </si>
  <si>
    <t>124-670-3459</t>
  </si>
  <si>
    <t>224-456-7898</t>
  </si>
  <si>
    <t>324-456-7890</t>
  </si>
  <si>
    <t>424-563-5698</t>
  </si>
  <si>
    <t>524-456-7898</t>
  </si>
  <si>
    <t>حقوق</t>
  </si>
  <si>
    <t>عملگرد های محاسباتی</t>
  </si>
  <si>
    <t>مثال</t>
  </si>
  <si>
    <t>نتیجه</t>
  </si>
  <si>
    <t>جمع</t>
  </si>
  <si>
    <t>تفریق</t>
  </si>
  <si>
    <t>ضرب</t>
  </si>
  <si>
    <t>تقسیم</t>
  </si>
  <si>
    <t>درصد</t>
  </si>
  <si>
    <t>توان</t>
  </si>
  <si>
    <t>8+5</t>
  </si>
  <si>
    <t>50*43</t>
  </si>
  <si>
    <t>16/2%</t>
  </si>
  <si>
    <t>8^5</t>
  </si>
  <si>
    <t>20-6</t>
  </si>
  <si>
    <t>16*2%</t>
  </si>
  <si>
    <t>عملگرد های مقایسه ای</t>
  </si>
  <si>
    <t>کوچیکتر</t>
  </si>
  <si>
    <t>بزرگتر</t>
  </si>
  <si>
    <t>بزرگتر از مساوی</t>
  </si>
  <si>
    <t>کوچیکتر از مساوی</t>
  </si>
  <si>
    <t>نا مساوی</t>
  </si>
  <si>
    <t>مساوی</t>
  </si>
  <si>
    <t>4&lt;5</t>
  </si>
  <si>
    <t>4&gt;5</t>
  </si>
  <si>
    <t>4&gt;=5</t>
  </si>
  <si>
    <t>4&lt;=5</t>
  </si>
  <si>
    <t>4&lt;&gt;5</t>
  </si>
  <si>
    <t>4=5</t>
  </si>
  <si>
    <t>عملگرد های رشته ای</t>
  </si>
  <si>
    <t>microsaft</t>
  </si>
  <si>
    <t>word</t>
  </si>
  <si>
    <t>شرح کالا</t>
  </si>
  <si>
    <t>تعداد</t>
  </si>
  <si>
    <t>قیمت واحد</t>
  </si>
  <si>
    <t>قیمت کل</t>
  </si>
  <si>
    <t>خودکار</t>
  </si>
  <si>
    <t>مداد</t>
  </si>
  <si>
    <t>دفتر</t>
  </si>
  <si>
    <t>تراش</t>
  </si>
  <si>
    <t>ژاک کن</t>
  </si>
  <si>
    <t>جامدادی</t>
  </si>
  <si>
    <t>گوشی</t>
  </si>
  <si>
    <t>ساعت</t>
  </si>
  <si>
    <t>گچ</t>
  </si>
  <si>
    <t>میز</t>
  </si>
  <si>
    <t>جمع کل</t>
  </si>
  <si>
    <t>میانگین</t>
  </si>
  <si>
    <t>ماکسینم تعداد</t>
  </si>
  <si>
    <t>بزرگ</t>
  </si>
  <si>
    <t>کوچک</t>
  </si>
  <si>
    <t>تخیفیف</t>
  </si>
  <si>
    <t>مبلغ ژرداختی</t>
  </si>
  <si>
    <t>مالیات</t>
  </si>
  <si>
    <t>مبلغ نهایی</t>
  </si>
  <si>
    <t>نام درس</t>
  </si>
  <si>
    <t>تعداد واحد</t>
  </si>
  <si>
    <t>نمره</t>
  </si>
  <si>
    <t>ریاضی</t>
  </si>
  <si>
    <t>ادبیات</t>
  </si>
  <si>
    <t>علوم</t>
  </si>
  <si>
    <t>عربی</t>
  </si>
  <si>
    <t>زبان</t>
  </si>
  <si>
    <t>تعداد واحد نمره</t>
  </si>
  <si>
    <t>معادل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</si>
</sst>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* #,##0_-&quot;ريال&quot;_ ;_ * #,##0\-&quot;ريال&quot;_ ;_ * &quot;-&quot;_-&quot;ريال&quot;_ ;_ @_ "/>
    <numFmt numFmtId="164" formatCode="#,##0_-&quot;ريال&quot;"/>
  </numFmts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Nazanin"/>
      <charset val="178"/>
    </font>
    <font>
      <sz val="8"/>
      <name val="Calibri"/>
      <family val="2"/>
      <charset val="178"/>
      <scheme val="minor"/>
    </font>
    <font>
      <sz val="12"/>
      <color rgb="FFFF0000"/>
      <name val="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readingOrder="2"/>
    </xf>
    <xf numFmtId="0" fontId="1" fillId="0" borderId="1" xfId="0" applyFont="1" applyBorder="1" applyAlignment="1">
      <alignment readingOrder="2"/>
    </xf>
    <xf numFmtId="0" fontId="1" fillId="0" borderId="1" xfId="0" applyFont="1" applyBorder="1"/>
    <xf numFmtId="0" fontId="1" fillId="2" borderId="1" xfId="0" applyFont="1" applyFill="1" applyBorder="1" applyAlignment="1">
      <alignment horizontal="center" readingOrder="2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readingOrder="2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42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B817-46A2-46C3-90EF-C1BA4C702DA4}">
  <dimension ref="A1:I20"/>
  <sheetViews>
    <sheetView rightToLeft="1" workbookViewId="0">
      <selection activeCell="D12" sqref="D12"/>
    </sheetView>
  </sheetViews>
  <sheetFormatPr defaultRowHeight="15" x14ac:dyDescent="0.25"/>
  <cols>
    <col min="2" max="2" width="14.140625" customWidth="1"/>
    <col min="3" max="3" width="7.140625" customWidth="1"/>
    <col min="5" max="5" width="18.140625" customWidth="1"/>
    <col min="6" max="6" width="15.85546875" customWidth="1"/>
    <col min="7" max="7" width="16.85546875" customWidth="1"/>
    <col min="8" max="8" width="17.28515625" customWidth="1"/>
    <col min="9" max="9" width="16.85546875" customWidth="1"/>
    <col min="12285" max="12286" width="9.140625" customWidth="1"/>
    <col min="12287" max="12287" width="10.85546875" customWidth="1"/>
  </cols>
  <sheetData>
    <row r="1" spans="1:9" ht="18.75" x14ac:dyDescent="0.45">
      <c r="A1" s="4" t="s">
        <v>1</v>
      </c>
      <c r="B1" s="5" t="s">
        <v>2</v>
      </c>
      <c r="C1" s="5" t="s">
        <v>0</v>
      </c>
      <c r="D1" s="5" t="s">
        <v>3</v>
      </c>
      <c r="E1" s="5" t="s">
        <v>19</v>
      </c>
      <c r="F1" s="5" t="s">
        <v>20</v>
      </c>
      <c r="G1" s="5" t="s">
        <v>26</v>
      </c>
      <c r="H1" s="5"/>
      <c r="I1" s="5"/>
    </row>
    <row r="2" spans="1:9" ht="18.75" x14ac:dyDescent="0.45">
      <c r="A2" s="6">
        <v>3</v>
      </c>
      <c r="B2" s="7" t="s">
        <v>6</v>
      </c>
      <c r="C2" s="7" t="s">
        <v>11</v>
      </c>
      <c r="D2" s="7" t="s">
        <v>16</v>
      </c>
      <c r="E2" s="7">
        <v>1234567890</v>
      </c>
      <c r="F2" s="7" t="s">
        <v>23</v>
      </c>
      <c r="G2" s="8">
        <v>10000</v>
      </c>
      <c r="H2" s="7"/>
      <c r="I2" s="7"/>
    </row>
    <row r="3" spans="1:9" ht="18.75" x14ac:dyDescent="0.45">
      <c r="A3" s="6">
        <v>2</v>
      </c>
      <c r="B3" s="7" t="s">
        <v>5</v>
      </c>
      <c r="C3" s="7" t="s">
        <v>10</v>
      </c>
      <c r="D3" s="7" t="s">
        <v>15</v>
      </c>
      <c r="E3" s="7">
        <v>1234567898</v>
      </c>
      <c r="F3" s="7" t="s">
        <v>22</v>
      </c>
      <c r="G3" s="8">
        <v>1000</v>
      </c>
      <c r="H3" s="7"/>
      <c r="I3" s="7"/>
    </row>
    <row r="4" spans="1:9" ht="18.75" x14ac:dyDescent="0.45">
      <c r="A4" s="6">
        <v>1</v>
      </c>
      <c r="B4" s="7" t="s">
        <v>4</v>
      </c>
      <c r="C4" s="7" t="s">
        <v>9</v>
      </c>
      <c r="D4" s="7" t="s">
        <v>14</v>
      </c>
      <c r="E4" s="7">
        <v>1246703459</v>
      </c>
      <c r="F4" s="7" t="s">
        <v>21</v>
      </c>
      <c r="G4" s="8">
        <v>1000000</v>
      </c>
      <c r="H4" s="7"/>
      <c r="I4" s="7"/>
    </row>
    <row r="5" spans="1:9" ht="18.75" x14ac:dyDescent="0.45">
      <c r="A5" s="6">
        <v>4</v>
      </c>
      <c r="B5" s="7" t="s">
        <v>7</v>
      </c>
      <c r="C5" s="7" t="s">
        <v>12</v>
      </c>
      <c r="D5" s="7" t="s">
        <v>17</v>
      </c>
      <c r="E5" s="7">
        <v>7565635698</v>
      </c>
      <c r="F5" s="7" t="s">
        <v>24</v>
      </c>
      <c r="G5" s="8">
        <v>1000000000</v>
      </c>
      <c r="H5" s="7"/>
      <c r="I5" s="7"/>
    </row>
    <row r="6" spans="1:9" ht="18.75" x14ac:dyDescent="0.45">
      <c r="A6" s="6">
        <v>5</v>
      </c>
      <c r="B6" s="7" t="s">
        <v>8</v>
      </c>
      <c r="C6" s="7" t="s">
        <v>13</v>
      </c>
      <c r="D6" s="7" t="s">
        <v>18</v>
      </c>
      <c r="E6" s="7">
        <v>1234567898</v>
      </c>
      <c r="F6" s="7" t="s">
        <v>25</v>
      </c>
      <c r="G6" s="8">
        <v>2000000</v>
      </c>
      <c r="H6" s="7"/>
      <c r="I6" s="7"/>
    </row>
    <row r="7" spans="1:9" ht="18.75" x14ac:dyDescent="0.45">
      <c r="A7" s="6">
        <v>6</v>
      </c>
      <c r="B7" s="7"/>
      <c r="C7" s="7"/>
      <c r="D7" s="7"/>
      <c r="E7" s="7"/>
      <c r="F7" s="7"/>
      <c r="G7" s="7"/>
      <c r="H7" s="7"/>
      <c r="I7" s="7"/>
    </row>
    <row r="8" spans="1:9" ht="18.75" x14ac:dyDescent="0.45">
      <c r="A8" s="6">
        <v>7</v>
      </c>
      <c r="B8" s="7"/>
      <c r="C8" s="7"/>
      <c r="D8" s="7"/>
      <c r="E8" s="7"/>
      <c r="F8" s="7"/>
      <c r="G8" s="7"/>
      <c r="H8" s="7"/>
      <c r="I8" s="7"/>
    </row>
    <row r="9" spans="1:9" ht="18.75" x14ac:dyDescent="0.45">
      <c r="A9" s="6">
        <v>8</v>
      </c>
      <c r="B9" s="7"/>
      <c r="C9" s="7"/>
      <c r="D9" s="7"/>
      <c r="E9" s="7"/>
      <c r="F9" s="7"/>
      <c r="G9" s="7"/>
      <c r="H9" s="7"/>
      <c r="I9" s="7"/>
    </row>
    <row r="10" spans="1:9" ht="18.75" x14ac:dyDescent="0.45">
      <c r="A10" s="6">
        <v>9</v>
      </c>
      <c r="B10" s="7"/>
      <c r="C10" s="7"/>
      <c r="D10" s="7"/>
      <c r="E10" s="7"/>
      <c r="F10" s="7"/>
      <c r="G10" s="7"/>
      <c r="H10" s="7"/>
      <c r="I10" s="7"/>
    </row>
    <row r="11" spans="1:9" ht="18.75" x14ac:dyDescent="0.45">
      <c r="A11" s="6"/>
      <c r="B11" s="7"/>
      <c r="C11" s="7"/>
      <c r="D11" s="7"/>
      <c r="E11" s="7"/>
      <c r="F11" s="7"/>
      <c r="G11" s="7"/>
      <c r="H11" s="7"/>
      <c r="I11" s="7"/>
    </row>
    <row r="12" spans="1:9" ht="18.75" x14ac:dyDescent="0.45">
      <c r="A12" s="6"/>
      <c r="B12" s="7"/>
      <c r="C12" s="7"/>
      <c r="D12" s="7"/>
      <c r="E12" s="7"/>
      <c r="F12" s="7"/>
      <c r="G12" s="7"/>
      <c r="H12" s="7"/>
      <c r="I12" s="7"/>
    </row>
    <row r="13" spans="1:9" ht="18.75" x14ac:dyDescent="0.45">
      <c r="A13" s="6"/>
      <c r="B13" s="7"/>
      <c r="C13" s="7"/>
      <c r="D13" s="7"/>
      <c r="E13" s="7"/>
      <c r="F13" s="7"/>
      <c r="G13" s="7"/>
      <c r="H13" s="7"/>
      <c r="I13" s="7"/>
    </row>
    <row r="14" spans="1:9" ht="18.75" x14ac:dyDescent="0.45">
      <c r="A14" s="6"/>
      <c r="B14" s="7"/>
      <c r="C14" s="7"/>
      <c r="D14" s="7"/>
      <c r="E14" s="7"/>
      <c r="F14" s="7"/>
      <c r="G14" s="7"/>
      <c r="H14" s="7"/>
      <c r="I14" s="7"/>
    </row>
    <row r="15" spans="1:9" ht="18.75" x14ac:dyDescent="0.45">
      <c r="A15" s="6"/>
      <c r="B15" s="7"/>
      <c r="C15" s="7"/>
      <c r="D15" s="7"/>
      <c r="E15" s="7"/>
      <c r="F15" s="7"/>
      <c r="G15" s="7"/>
      <c r="H15" s="7"/>
      <c r="I15" s="7"/>
    </row>
    <row r="16" spans="1:9" ht="18.75" x14ac:dyDescent="0.45">
      <c r="A16" s="2"/>
      <c r="B16" s="3"/>
      <c r="C16" s="3"/>
      <c r="D16" s="3"/>
      <c r="E16" s="3"/>
      <c r="F16" s="3"/>
      <c r="G16" s="3"/>
      <c r="H16" s="3"/>
      <c r="I16" s="3"/>
    </row>
    <row r="17" spans="1:9" ht="18.75" x14ac:dyDescent="0.45">
      <c r="A17" s="2"/>
      <c r="B17" s="3"/>
      <c r="C17" s="3"/>
      <c r="D17" s="3"/>
      <c r="E17" s="3"/>
      <c r="F17" s="3"/>
      <c r="G17" s="3"/>
      <c r="H17" s="3"/>
      <c r="I17" s="3"/>
    </row>
    <row r="18" spans="1:9" ht="18.75" x14ac:dyDescent="0.45">
      <c r="A18" s="2"/>
      <c r="B18" s="3"/>
      <c r="C18" s="3"/>
      <c r="D18" s="3"/>
      <c r="E18" s="3"/>
      <c r="F18" s="3"/>
      <c r="G18" s="3"/>
      <c r="H18" s="3"/>
      <c r="I18" s="3"/>
    </row>
    <row r="19" spans="1:9" ht="18.75" x14ac:dyDescent="0.45">
      <c r="A19" s="2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1"/>
    </row>
  </sheetData>
  <autoFilter ref="A1:G10" xr:uid="{D6D3B817-46A2-46C3-90EF-C1BA4C702DA4}"/>
  <sortState xmlns:xlrd2="http://schemas.microsoft.com/office/spreadsheetml/2017/richdata2" ref="A2:F10">
    <sortCondition ref="D2:D10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ABF5-61E7-4A5F-95D6-4145566D2825}">
  <dimension ref="A1:I23"/>
  <sheetViews>
    <sheetView rightToLeft="1" topLeftCell="A13" workbookViewId="0">
      <selection activeCell="B22" sqref="B22"/>
    </sheetView>
  </sheetViews>
  <sheetFormatPr defaultRowHeight="15" x14ac:dyDescent="0.25"/>
  <cols>
    <col min="1" max="1" width="14.5703125" customWidth="1"/>
    <col min="3" max="3" width="27" customWidth="1"/>
    <col min="4" max="4" width="23.42578125" customWidth="1"/>
    <col min="5" max="5" width="27.28515625" customWidth="1"/>
  </cols>
  <sheetData>
    <row r="1" spans="1:9" ht="18.75" x14ac:dyDescent="0.45">
      <c r="A1" s="15" t="s">
        <v>1</v>
      </c>
      <c r="B1" s="15" t="s">
        <v>58</v>
      </c>
      <c r="C1" s="15" t="s">
        <v>59</v>
      </c>
      <c r="D1" s="15" t="s">
        <v>60</v>
      </c>
      <c r="E1" s="15" t="s">
        <v>61</v>
      </c>
      <c r="F1" s="15"/>
      <c r="G1" s="15"/>
      <c r="H1" s="15"/>
      <c r="I1" s="15"/>
    </row>
    <row r="2" spans="1:9" ht="18.75" x14ac:dyDescent="0.45">
      <c r="A2" s="7">
        <v>1</v>
      </c>
      <c r="B2" s="7" t="s">
        <v>62</v>
      </c>
      <c r="C2" s="8">
        <v>50</v>
      </c>
      <c r="D2" s="16">
        <v>28000</v>
      </c>
      <c r="E2" s="16">
        <f>D2*C2</f>
        <v>1400000</v>
      </c>
      <c r="F2" s="7"/>
      <c r="G2" s="7"/>
      <c r="H2" s="7"/>
      <c r="I2" s="7"/>
    </row>
    <row r="3" spans="1:9" ht="18.75" x14ac:dyDescent="0.45">
      <c r="A3" s="7">
        <v>2</v>
      </c>
      <c r="B3" s="7" t="s">
        <v>63</v>
      </c>
      <c r="C3" s="8">
        <v>100</v>
      </c>
      <c r="D3" s="16">
        <v>18000</v>
      </c>
      <c r="E3" s="16">
        <f t="shared" ref="E3:E11" si="0">D3*C3</f>
        <v>1800000</v>
      </c>
      <c r="F3" s="7"/>
      <c r="G3" s="7"/>
      <c r="H3" s="7"/>
      <c r="I3" s="7"/>
    </row>
    <row r="4" spans="1:9" ht="18.75" x14ac:dyDescent="0.45">
      <c r="A4" s="7">
        <v>3</v>
      </c>
      <c r="B4" s="7" t="s">
        <v>64</v>
      </c>
      <c r="C4" s="8">
        <v>98</v>
      </c>
      <c r="D4" s="16">
        <v>86000</v>
      </c>
      <c r="E4" s="16">
        <f t="shared" si="0"/>
        <v>8428000</v>
      </c>
      <c r="F4" s="7"/>
      <c r="G4" s="7"/>
      <c r="H4" s="7"/>
      <c r="I4" s="7"/>
    </row>
    <row r="5" spans="1:9" ht="18.75" x14ac:dyDescent="0.45">
      <c r="A5" s="7">
        <v>4</v>
      </c>
      <c r="B5" s="7" t="s">
        <v>65</v>
      </c>
      <c r="C5" s="8">
        <v>235</v>
      </c>
      <c r="D5" s="16">
        <v>53000</v>
      </c>
      <c r="E5" s="16">
        <f t="shared" si="0"/>
        <v>12455000</v>
      </c>
      <c r="F5" s="7"/>
      <c r="G5" s="7"/>
      <c r="H5" s="7"/>
      <c r="I5" s="7"/>
    </row>
    <row r="6" spans="1:9" ht="18.75" x14ac:dyDescent="0.45">
      <c r="A6" s="7">
        <v>5</v>
      </c>
      <c r="B6" s="7" t="s">
        <v>66</v>
      </c>
      <c r="C6" s="8">
        <v>180</v>
      </c>
      <c r="D6" s="16">
        <v>32000</v>
      </c>
      <c r="E6" s="16">
        <f t="shared" si="0"/>
        <v>5760000</v>
      </c>
      <c r="F6" s="7"/>
      <c r="G6" s="7"/>
      <c r="H6" s="7"/>
      <c r="I6" s="7"/>
    </row>
    <row r="7" spans="1:9" ht="18.75" x14ac:dyDescent="0.45">
      <c r="A7" s="7">
        <v>6</v>
      </c>
      <c r="B7" s="7" t="s">
        <v>67</v>
      </c>
      <c r="C7" s="8">
        <v>200</v>
      </c>
      <c r="D7" s="16">
        <v>50000</v>
      </c>
      <c r="E7" s="16">
        <f t="shared" si="0"/>
        <v>10000000</v>
      </c>
      <c r="F7" s="7"/>
      <c r="G7" s="7"/>
      <c r="H7" s="7"/>
      <c r="I7" s="7"/>
    </row>
    <row r="8" spans="1:9" ht="18.75" x14ac:dyDescent="0.45">
      <c r="A8" s="7">
        <v>7</v>
      </c>
      <c r="B8" s="7" t="s">
        <v>68</v>
      </c>
      <c r="C8" s="8">
        <v>500</v>
      </c>
      <c r="D8" s="16">
        <v>1000000</v>
      </c>
      <c r="E8" s="16">
        <f t="shared" si="0"/>
        <v>500000000</v>
      </c>
      <c r="F8" s="7"/>
      <c r="G8" s="7"/>
      <c r="H8" s="7"/>
      <c r="I8" s="7"/>
    </row>
    <row r="9" spans="1:9" ht="18.75" x14ac:dyDescent="0.45">
      <c r="A9" s="7">
        <v>8</v>
      </c>
      <c r="B9" s="7" t="s">
        <v>69</v>
      </c>
      <c r="C9" s="8">
        <v>100</v>
      </c>
      <c r="D9" s="16">
        <v>900000</v>
      </c>
      <c r="E9" s="16">
        <f t="shared" si="0"/>
        <v>90000000</v>
      </c>
      <c r="F9" s="7"/>
      <c r="G9" s="7"/>
      <c r="H9" s="7"/>
      <c r="I9" s="7"/>
    </row>
    <row r="10" spans="1:9" ht="18.75" x14ac:dyDescent="0.45">
      <c r="A10" s="7">
        <v>9</v>
      </c>
      <c r="B10" s="7" t="s">
        <v>70</v>
      </c>
      <c r="C10" s="8">
        <v>10</v>
      </c>
      <c r="D10" s="16">
        <v>1000</v>
      </c>
      <c r="E10" s="16">
        <f t="shared" si="0"/>
        <v>10000</v>
      </c>
      <c r="F10" s="7"/>
      <c r="G10" s="7"/>
      <c r="H10" s="7"/>
      <c r="I10" s="7"/>
    </row>
    <row r="11" spans="1:9" ht="18.75" x14ac:dyDescent="0.45">
      <c r="A11" s="7">
        <v>10</v>
      </c>
      <c r="B11" s="7" t="s">
        <v>71</v>
      </c>
      <c r="C11" s="8">
        <v>700</v>
      </c>
      <c r="D11" s="16">
        <v>300000</v>
      </c>
      <c r="E11" s="16">
        <f t="shared" si="0"/>
        <v>210000000</v>
      </c>
      <c r="F11" s="7"/>
      <c r="G11" s="7"/>
      <c r="H11" s="7"/>
      <c r="I11" s="7"/>
    </row>
    <row r="12" spans="1:9" ht="18.75" x14ac:dyDescent="0.45">
      <c r="A12" s="18" t="s">
        <v>72</v>
      </c>
      <c r="B12" s="18"/>
      <c r="C12" s="19">
        <f>SUM(C2:C11)</f>
        <v>2173</v>
      </c>
      <c r="D12" s="20">
        <f>SUM(D2:D11)</f>
        <v>2468000</v>
      </c>
      <c r="E12" s="21">
        <f>SUM(E2:E11)</f>
        <v>839853000</v>
      </c>
      <c r="F12" s="7"/>
      <c r="G12" s="7"/>
      <c r="H12" s="7"/>
      <c r="I12" s="7"/>
    </row>
    <row r="13" spans="1:9" ht="18.75" x14ac:dyDescent="0.45">
      <c r="A13" s="22" t="s">
        <v>73</v>
      </c>
      <c r="B13" s="22"/>
      <c r="C13" s="23">
        <f>AVERAGE(C2:C12)</f>
        <v>395.09090909090907</v>
      </c>
      <c r="D13" s="24">
        <f>AVERAGE(D2:D12)</f>
        <v>448727.27272727271</v>
      </c>
      <c r="E13" s="25">
        <f>AVERAGE(E2:E12)</f>
        <v>152700545.45454547</v>
      </c>
      <c r="F13" s="7"/>
      <c r="G13" s="7"/>
      <c r="H13" s="7"/>
      <c r="I13" s="7"/>
    </row>
    <row r="14" spans="1:9" ht="18.75" x14ac:dyDescent="0.45">
      <c r="A14" s="7" t="s">
        <v>74</v>
      </c>
      <c r="B14" s="7" t="s">
        <v>75</v>
      </c>
      <c r="C14" s="8">
        <f>MAX(C2:C11)</f>
        <v>700</v>
      </c>
      <c r="D14" s="16">
        <f>MAX(D2:D11)</f>
        <v>1000000</v>
      </c>
      <c r="E14" s="16">
        <f>MAX(E2:E11)</f>
        <v>500000000</v>
      </c>
      <c r="F14" s="7"/>
      <c r="G14" s="7"/>
      <c r="H14" s="7"/>
      <c r="I14" s="7"/>
    </row>
    <row r="15" spans="1:9" ht="18.75" x14ac:dyDescent="0.45">
      <c r="A15" s="7" t="s">
        <v>74</v>
      </c>
      <c r="B15" s="7" t="s">
        <v>76</v>
      </c>
      <c r="C15" s="8">
        <f>MIN(C2:C11)</f>
        <v>10</v>
      </c>
      <c r="D15" s="16">
        <f>MIN(D2:D11)</f>
        <v>1000</v>
      </c>
      <c r="E15" s="16">
        <f>MIN(E2:E11)</f>
        <v>10000</v>
      </c>
      <c r="F15" s="7"/>
      <c r="G15" s="7"/>
      <c r="H15" s="7"/>
      <c r="I15" s="7"/>
    </row>
    <row r="16" spans="1:9" ht="18.75" x14ac:dyDescent="0.45">
      <c r="A16" s="7" t="s">
        <v>77</v>
      </c>
      <c r="B16" s="26">
        <v>0.1</v>
      </c>
      <c r="C16" s="16">
        <f>B16*E12</f>
        <v>83985300</v>
      </c>
      <c r="D16" s="7"/>
      <c r="E16" s="7"/>
      <c r="F16" s="7"/>
      <c r="G16" s="7"/>
      <c r="H16" s="7"/>
      <c r="I16" s="7"/>
    </row>
    <row r="17" spans="1:9" ht="18.75" x14ac:dyDescent="0.45">
      <c r="A17" s="7" t="s">
        <v>78</v>
      </c>
      <c r="B17" s="7"/>
      <c r="C17" s="16">
        <f>E12-C16</f>
        <v>755867700</v>
      </c>
      <c r="D17" s="7"/>
      <c r="E17" s="7"/>
      <c r="F17" s="7"/>
      <c r="G17" s="7"/>
      <c r="H17" s="7"/>
      <c r="I17" s="7"/>
    </row>
    <row r="18" spans="1:9" ht="18.75" x14ac:dyDescent="0.45">
      <c r="A18" s="7" t="s">
        <v>79</v>
      </c>
      <c r="B18" s="28">
        <v>0.05</v>
      </c>
      <c r="C18" s="16">
        <f>B18*E12</f>
        <v>41992650</v>
      </c>
      <c r="D18" s="7"/>
      <c r="E18" s="7"/>
      <c r="F18" s="7"/>
      <c r="G18" s="7"/>
      <c r="H18" s="7"/>
      <c r="I18" s="7"/>
    </row>
    <row r="19" spans="1:9" ht="18.75" x14ac:dyDescent="0.45">
      <c r="A19" s="27" t="s">
        <v>80</v>
      </c>
      <c r="B19" s="7"/>
      <c r="C19" s="16">
        <f>C17+C18</f>
        <v>797860350</v>
      </c>
      <c r="D19" s="7"/>
      <c r="E19" s="7"/>
      <c r="F19" s="7"/>
      <c r="G19" s="7"/>
      <c r="H19" s="7"/>
      <c r="I19" s="7"/>
    </row>
    <row r="20" spans="1:9" ht="18.75" x14ac:dyDescent="0.45">
      <c r="A20" s="7">
        <f>COUNT(A2:B11)</f>
        <v>10</v>
      </c>
      <c r="B20" s="7"/>
      <c r="C20" s="7"/>
      <c r="D20" s="7"/>
      <c r="E20" s="7"/>
      <c r="F20" s="7"/>
      <c r="G20" s="7"/>
      <c r="H20" s="7"/>
      <c r="I20" s="7"/>
    </row>
    <row r="21" spans="1:9" ht="18.75" x14ac:dyDescent="0.45">
      <c r="A21" s="29">
        <f>COUNTA(A2:B11)</f>
        <v>20</v>
      </c>
      <c r="B21" s="7"/>
      <c r="C21" s="7"/>
      <c r="D21" s="7"/>
      <c r="E21" s="7"/>
      <c r="F21" s="7"/>
      <c r="G21" s="7"/>
      <c r="H21" s="7"/>
      <c r="I21" s="7"/>
    </row>
    <row r="22" spans="1:9" ht="18.75" x14ac:dyDescent="0.45">
      <c r="A22" s="7">
        <f>COUNTBLANK(A2:B12)</f>
        <v>1</v>
      </c>
      <c r="B22" s="7"/>
      <c r="C22" s="7"/>
      <c r="D22" s="7"/>
      <c r="E22" s="7"/>
      <c r="F22" s="7"/>
      <c r="G22" s="7"/>
      <c r="H22" s="7"/>
      <c r="I22" s="7"/>
    </row>
    <row r="23" spans="1:9" ht="18.75" x14ac:dyDescent="0.45">
      <c r="A23" s="7"/>
      <c r="B23" s="7"/>
      <c r="C23" s="7"/>
      <c r="D23" s="7"/>
      <c r="E23" s="7"/>
      <c r="F23" s="7"/>
      <c r="G23" s="7"/>
      <c r="H23" s="7"/>
      <c r="I23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AE14-D779-4E36-94BD-913F170599BE}">
  <dimension ref="A1:I18"/>
  <sheetViews>
    <sheetView rightToLeft="1" tabSelected="1" workbookViewId="0">
      <selection activeCell="B8" sqref="B8"/>
    </sheetView>
  </sheetViews>
  <sheetFormatPr defaultRowHeight="15" x14ac:dyDescent="0.25"/>
  <cols>
    <col min="2" max="2" width="16.28515625" customWidth="1"/>
    <col min="4" max="4" width="14.140625" customWidth="1"/>
  </cols>
  <sheetData>
    <row r="1" spans="1:9" ht="18.75" x14ac:dyDescent="0.45">
      <c r="A1" s="5" t="s">
        <v>81</v>
      </c>
      <c r="B1" s="5" t="s">
        <v>82</v>
      </c>
      <c r="C1" s="5" t="s">
        <v>83</v>
      </c>
      <c r="D1" s="5" t="s">
        <v>89</v>
      </c>
      <c r="E1" s="17"/>
      <c r="F1" s="17"/>
      <c r="G1" s="17"/>
      <c r="H1" s="17"/>
      <c r="I1" s="17"/>
    </row>
    <row r="2" spans="1:9" ht="18.75" x14ac:dyDescent="0.45">
      <c r="A2" s="18" t="s">
        <v>84</v>
      </c>
      <c r="B2" s="17">
        <v>3</v>
      </c>
      <c r="C2" s="17">
        <v>18</v>
      </c>
      <c r="D2" s="17">
        <f>B2*C2</f>
        <v>54</v>
      </c>
      <c r="E2" s="17"/>
      <c r="F2" s="17"/>
      <c r="G2" s="17"/>
      <c r="H2" s="17"/>
      <c r="I2" s="17"/>
    </row>
    <row r="3" spans="1:9" ht="18.75" x14ac:dyDescent="0.45">
      <c r="A3" s="18" t="s">
        <v>85</v>
      </c>
      <c r="B3" s="17">
        <v>2</v>
      </c>
      <c r="C3" s="17">
        <v>17</v>
      </c>
      <c r="D3" s="17">
        <f t="shared" ref="D3:D6" si="0">B3*C3</f>
        <v>34</v>
      </c>
      <c r="E3" s="17"/>
      <c r="F3" s="17"/>
      <c r="G3" s="17"/>
      <c r="H3" s="17"/>
      <c r="I3" s="17"/>
    </row>
    <row r="4" spans="1:9" ht="18.75" x14ac:dyDescent="0.45">
      <c r="A4" s="18" t="s">
        <v>86</v>
      </c>
      <c r="B4" s="17">
        <v>2</v>
      </c>
      <c r="C4" s="17">
        <v>19</v>
      </c>
      <c r="D4" s="17">
        <f t="shared" si="0"/>
        <v>38</v>
      </c>
      <c r="E4" s="17"/>
      <c r="F4" s="17"/>
      <c r="G4" s="17"/>
      <c r="H4" s="17"/>
      <c r="I4" s="17"/>
    </row>
    <row r="5" spans="1:9" ht="18.75" x14ac:dyDescent="0.45">
      <c r="A5" s="18" t="s">
        <v>87</v>
      </c>
      <c r="B5" s="17">
        <v>3</v>
      </c>
      <c r="C5" s="17">
        <v>20</v>
      </c>
      <c r="D5" s="17">
        <f t="shared" si="0"/>
        <v>60</v>
      </c>
      <c r="E5" s="17"/>
      <c r="F5" s="17"/>
      <c r="G5" s="17"/>
      <c r="H5" s="17"/>
      <c r="I5" s="17"/>
    </row>
    <row r="6" spans="1:9" ht="18.75" x14ac:dyDescent="0.45">
      <c r="A6" s="18" t="s">
        <v>88</v>
      </c>
      <c r="B6" s="17">
        <v>3</v>
      </c>
      <c r="C6" s="17">
        <v>20</v>
      </c>
      <c r="D6" s="17">
        <f t="shared" si="0"/>
        <v>60</v>
      </c>
      <c r="E6" s="17"/>
      <c r="F6" s="17"/>
      <c r="G6" s="17"/>
      <c r="H6" s="17"/>
      <c r="I6" s="17"/>
    </row>
    <row r="7" spans="1:9" ht="18.75" x14ac:dyDescent="0.45">
      <c r="A7" s="18" t="s">
        <v>72</v>
      </c>
      <c r="B7" s="17">
        <f>SUM(B2:B6)</f>
        <v>13</v>
      </c>
      <c r="C7" s="17">
        <f>SUM(C2:C6)</f>
        <v>94</v>
      </c>
      <c r="D7" s="17">
        <f>SUM(D2:D6)</f>
        <v>246</v>
      </c>
      <c r="E7" s="17"/>
      <c r="F7" s="17"/>
      <c r="G7" s="17"/>
      <c r="H7" s="17"/>
      <c r="I7" s="17"/>
    </row>
    <row r="8" spans="1:9" ht="18.75" x14ac:dyDescent="0.45">
      <c r="A8" s="17" t="s">
        <v>90</v>
      </c>
      <c r="B8" s="30">
        <f>D7/B7</f>
        <v>18.923076923076923</v>
      </c>
      <c r="C8" s="17"/>
      <c r="D8" s="17"/>
      <c r="E8" s="17"/>
      <c r="F8" s="17"/>
      <c r="G8" s="17"/>
      <c r="H8" s="17"/>
      <c r="I8" s="17"/>
    </row>
    <row r="9" spans="1:9" ht="18.75" x14ac:dyDescent="0.45">
      <c r="A9" s="17"/>
      <c r="B9" s="17"/>
      <c r="C9" s="17"/>
      <c r="D9" s="17"/>
      <c r="E9" s="17"/>
      <c r="F9" s="17"/>
      <c r="G9" s="17"/>
      <c r="H9" s="17"/>
      <c r="I9" s="17"/>
    </row>
    <row r="10" spans="1:9" ht="18.75" x14ac:dyDescent="0.45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8.75" x14ac:dyDescent="0.45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8.75" x14ac:dyDescent="0.45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8.75" x14ac:dyDescent="0.45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8.75" x14ac:dyDescent="0.45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8.75" x14ac:dyDescent="0.45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8.75" x14ac:dyDescent="0.45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8.75" x14ac:dyDescent="0.45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8.75" x14ac:dyDescent="0.45">
      <c r="A18" s="17"/>
      <c r="B18" s="17"/>
      <c r="C18" s="17"/>
      <c r="D18" s="17"/>
      <c r="E18" s="17"/>
      <c r="F18" s="17"/>
      <c r="G18" s="17"/>
      <c r="H18" s="17"/>
      <c r="I18" s="1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FC81-F869-4AA7-8556-2C42D8608C29}">
  <dimension ref="A1:I15"/>
  <sheetViews>
    <sheetView rightToLeft="1" workbookViewId="0"/>
  </sheetViews>
  <sheetFormatPr defaultRowHeight="15" x14ac:dyDescent="0.25"/>
  <sheetData>
    <row r="1" spans="1:9" ht="18.75" x14ac:dyDescent="0.45">
      <c r="A1" s="10"/>
      <c r="B1" s="10"/>
      <c r="C1" s="10"/>
      <c r="D1" s="10"/>
      <c r="E1" s="10"/>
      <c r="F1" s="10"/>
      <c r="G1" s="10"/>
      <c r="H1" s="10"/>
      <c r="I1" s="10"/>
    </row>
    <row r="2" spans="1:9" ht="18.75" x14ac:dyDescent="0.45">
      <c r="A2" s="10"/>
      <c r="B2" s="10"/>
      <c r="C2" s="10"/>
      <c r="D2" s="10"/>
      <c r="E2" s="10"/>
      <c r="F2" s="10"/>
      <c r="G2" s="10"/>
      <c r="H2" s="10"/>
      <c r="I2" s="10"/>
    </row>
    <row r="3" spans="1:9" ht="18.75" x14ac:dyDescent="0.45">
      <c r="A3" s="10"/>
      <c r="B3" s="10"/>
      <c r="C3" s="10"/>
      <c r="D3" s="10"/>
      <c r="E3" s="10"/>
      <c r="F3" s="10"/>
      <c r="G3" s="10"/>
      <c r="H3" s="10"/>
      <c r="I3" s="10"/>
    </row>
    <row r="4" spans="1:9" ht="18.75" x14ac:dyDescent="0.45">
      <c r="A4" s="10"/>
      <c r="B4" s="10"/>
      <c r="C4" s="10"/>
      <c r="D4" s="10"/>
      <c r="E4" s="10"/>
      <c r="F4" s="10"/>
      <c r="G4" s="10"/>
      <c r="H4" s="10"/>
      <c r="I4" s="10"/>
    </row>
    <row r="5" spans="1:9" ht="18.75" x14ac:dyDescent="0.45">
      <c r="A5" s="10"/>
      <c r="B5" s="10"/>
      <c r="C5" s="10"/>
      <c r="D5" s="10"/>
      <c r="E5" s="10"/>
      <c r="F5" s="10"/>
      <c r="G5" s="10"/>
      <c r="H5" s="10"/>
      <c r="I5" s="10"/>
    </row>
    <row r="6" spans="1:9" ht="18.75" x14ac:dyDescent="0.45">
      <c r="A6" s="10"/>
      <c r="B6" s="10"/>
      <c r="C6" s="10"/>
      <c r="D6" s="10"/>
      <c r="E6" s="10"/>
      <c r="F6" s="10"/>
      <c r="G6" s="10"/>
      <c r="H6" s="10"/>
      <c r="I6" s="10"/>
    </row>
    <row r="7" spans="1:9" ht="18.75" x14ac:dyDescent="0.45">
      <c r="A7" s="10"/>
      <c r="B7" s="10"/>
      <c r="C7" s="10"/>
      <c r="D7" s="10"/>
      <c r="E7" s="10"/>
      <c r="F7" s="10"/>
      <c r="G7" s="10"/>
      <c r="H7" s="10"/>
      <c r="I7" s="10"/>
    </row>
    <row r="8" spans="1:9" ht="18.75" x14ac:dyDescent="0.45">
      <c r="A8" s="10"/>
      <c r="B8" s="10"/>
      <c r="C8" s="10"/>
      <c r="D8" s="10"/>
      <c r="E8" s="10"/>
      <c r="F8" s="10"/>
      <c r="G8" s="10"/>
      <c r="H8" s="10"/>
      <c r="I8" s="10"/>
    </row>
    <row r="9" spans="1:9" ht="18.75" x14ac:dyDescent="0.45">
      <c r="A9" s="10"/>
      <c r="B9" s="10"/>
      <c r="C9" s="10"/>
      <c r="D9" s="10"/>
      <c r="E9" s="10"/>
      <c r="F9" s="10"/>
      <c r="G9" s="10"/>
      <c r="H9" s="10"/>
      <c r="I9" s="10"/>
    </row>
    <row r="10" spans="1:9" ht="18.75" x14ac:dyDescent="0.45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18.75" x14ac:dyDescent="0.4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18.75" x14ac:dyDescent="0.45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.75" x14ac:dyDescent="0.45">
      <c r="A13" s="10"/>
      <c r="B13" s="10"/>
      <c r="C13" s="10"/>
      <c r="D13" s="10"/>
      <c r="E13" s="10"/>
      <c r="F13" s="10"/>
      <c r="G13" s="10"/>
      <c r="H13" s="10"/>
      <c r="I13" s="10"/>
    </row>
    <row r="14" spans="1:9" ht="18.75" x14ac:dyDescent="0.45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18.75" x14ac:dyDescent="0.45">
      <c r="A15" s="10"/>
      <c r="B15" s="10"/>
      <c r="C15" s="10"/>
      <c r="D15" s="10"/>
      <c r="E15" s="10"/>
      <c r="F15" s="10"/>
      <c r="G15" s="10"/>
      <c r="H15" s="10"/>
      <c r="I15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A7FE-8B9E-47CB-97BF-5490ABB2D6C5}">
  <dimension ref="A1:Y18"/>
  <sheetViews>
    <sheetView rightToLeft="1" topLeftCell="J1" workbookViewId="0">
      <selection activeCell="S8" sqref="S8"/>
    </sheetView>
  </sheetViews>
  <sheetFormatPr defaultRowHeight="15" x14ac:dyDescent="0.25"/>
  <cols>
    <col min="1" max="1" width="17.7109375" customWidth="1"/>
    <col min="3" max="3" width="12" bestFit="1" customWidth="1"/>
    <col min="10" max="10" width="18.5703125" customWidth="1"/>
    <col min="19" max="19" width="18.28515625" customWidth="1"/>
    <col min="20" max="20" width="28.85546875" customWidth="1"/>
  </cols>
  <sheetData>
    <row r="1" spans="1:25" ht="18.75" x14ac:dyDescent="0.45">
      <c r="A1" s="5" t="s">
        <v>27</v>
      </c>
      <c r="B1" s="5" t="s">
        <v>28</v>
      </c>
      <c r="C1" s="5" t="s">
        <v>29</v>
      </c>
      <c r="D1" s="5"/>
      <c r="E1" s="5"/>
      <c r="F1" s="5"/>
      <c r="G1" s="5"/>
      <c r="H1" s="5"/>
      <c r="I1" s="9"/>
      <c r="J1" s="13" t="s">
        <v>42</v>
      </c>
      <c r="K1" s="13" t="s">
        <v>28</v>
      </c>
      <c r="L1" s="13" t="s">
        <v>29</v>
      </c>
      <c r="M1" s="13"/>
      <c r="N1" s="13"/>
      <c r="O1" s="13"/>
      <c r="P1" s="13"/>
      <c r="Q1" s="13"/>
      <c r="S1" s="13" t="s">
        <v>55</v>
      </c>
      <c r="T1" s="13" t="s">
        <v>28</v>
      </c>
      <c r="U1" s="13"/>
      <c r="V1" s="13"/>
      <c r="W1" s="13"/>
      <c r="X1" s="13"/>
      <c r="Y1" s="13"/>
    </row>
    <row r="2" spans="1:25" ht="18.75" x14ac:dyDescent="0.45">
      <c r="A2" s="7" t="s">
        <v>30</v>
      </c>
      <c r="B2" s="7" t="s">
        <v>36</v>
      </c>
      <c r="C2" s="12">
        <f>8+5</f>
        <v>13</v>
      </c>
      <c r="D2" s="7"/>
      <c r="E2" s="7"/>
      <c r="F2" s="7"/>
      <c r="G2" s="7"/>
      <c r="H2" s="7"/>
      <c r="I2" s="9"/>
      <c r="J2" s="7" t="s">
        <v>43</v>
      </c>
      <c r="K2" s="7" t="s">
        <v>49</v>
      </c>
      <c r="L2" s="7" t="b">
        <f>4&lt;5</f>
        <v>1</v>
      </c>
      <c r="M2" s="3"/>
      <c r="N2" s="3"/>
      <c r="O2" s="3"/>
      <c r="P2" s="3"/>
      <c r="Q2" s="3"/>
      <c r="S2" s="3"/>
      <c r="T2" s="3" t="str">
        <f>S4&amp;S5</f>
        <v>microsaftword</v>
      </c>
      <c r="U2" s="3"/>
      <c r="V2" s="3"/>
      <c r="W2" s="3"/>
      <c r="X2" s="3"/>
      <c r="Y2" s="3"/>
    </row>
    <row r="3" spans="1:25" ht="18.75" x14ac:dyDescent="0.45">
      <c r="A3" s="7" t="s">
        <v>31</v>
      </c>
      <c r="B3" s="11" t="s">
        <v>40</v>
      </c>
      <c r="C3" s="12">
        <f>20-6</f>
        <v>14</v>
      </c>
      <c r="D3" s="7"/>
      <c r="E3" s="7"/>
      <c r="F3" s="7"/>
      <c r="G3" s="7"/>
      <c r="H3" s="7"/>
      <c r="I3" s="9"/>
      <c r="J3" s="7" t="s">
        <v>44</v>
      </c>
      <c r="K3" s="7" t="s">
        <v>50</v>
      </c>
      <c r="L3" s="7" t="b">
        <f>4&gt;5</f>
        <v>0</v>
      </c>
      <c r="M3" s="3"/>
      <c r="N3" s="3"/>
      <c r="O3" s="3"/>
      <c r="P3" s="3"/>
      <c r="Q3" s="3"/>
      <c r="S3" s="3"/>
      <c r="T3" s="3" t="str">
        <f>S4&amp;"    "&amp;S5</f>
        <v>microsaft    word</v>
      </c>
      <c r="U3" s="3"/>
      <c r="V3" s="3"/>
      <c r="W3" s="3"/>
      <c r="X3" s="3"/>
      <c r="Y3" s="3"/>
    </row>
    <row r="4" spans="1:25" ht="18.75" x14ac:dyDescent="0.45">
      <c r="A4" s="7" t="s">
        <v>32</v>
      </c>
      <c r="B4" s="7" t="s">
        <v>37</v>
      </c>
      <c r="C4" s="12">
        <f>50*43</f>
        <v>2150</v>
      </c>
      <c r="D4" s="7"/>
      <c r="E4" s="7"/>
      <c r="F4" s="7"/>
      <c r="G4" s="7"/>
      <c r="H4" s="7"/>
      <c r="I4" s="9"/>
      <c r="J4" s="7" t="s">
        <v>45</v>
      </c>
      <c r="K4" s="7" t="s">
        <v>51</v>
      </c>
      <c r="L4" s="7" t="b">
        <f>4&gt;=5</f>
        <v>0</v>
      </c>
      <c r="M4" s="3"/>
      <c r="N4" s="3"/>
      <c r="O4" s="3"/>
      <c r="P4" s="3"/>
      <c r="Q4" s="3"/>
      <c r="S4" s="3" t="s">
        <v>56</v>
      </c>
      <c r="T4" s="3" t="str">
        <f>S4&amp;"  "&amp;S5&amp;"  "&amp;2025</f>
        <v>microsaft  word  2025</v>
      </c>
      <c r="U4" s="3"/>
      <c r="V4" s="3"/>
      <c r="W4" s="3"/>
      <c r="X4" s="3"/>
      <c r="Y4" s="3"/>
    </row>
    <row r="5" spans="1:25" ht="18.75" x14ac:dyDescent="0.45">
      <c r="A5" s="7" t="s">
        <v>33</v>
      </c>
      <c r="B5" s="7" t="s">
        <v>41</v>
      </c>
      <c r="C5" s="12">
        <f>16*2%</f>
        <v>0.32</v>
      </c>
      <c r="D5" s="7"/>
      <c r="E5" s="7"/>
      <c r="F5" s="7"/>
      <c r="G5" s="7"/>
      <c r="H5" s="7"/>
      <c r="I5" s="9"/>
      <c r="J5" s="7" t="s">
        <v>46</v>
      </c>
      <c r="K5" s="7" t="s">
        <v>52</v>
      </c>
      <c r="L5" s="7" t="b">
        <f>4&gt;=5</f>
        <v>0</v>
      </c>
      <c r="M5" s="3"/>
      <c r="N5" s="3"/>
      <c r="O5" s="3"/>
      <c r="P5" s="3"/>
      <c r="Q5" s="3"/>
      <c r="S5" s="3" t="s">
        <v>57</v>
      </c>
      <c r="T5" s="14"/>
      <c r="U5" s="3"/>
      <c r="V5" s="3"/>
      <c r="W5" s="3"/>
      <c r="X5" s="3"/>
      <c r="Y5" s="3"/>
    </row>
    <row r="6" spans="1:25" ht="18.75" x14ac:dyDescent="0.45">
      <c r="A6" s="7" t="s">
        <v>34</v>
      </c>
      <c r="B6" s="7" t="s">
        <v>38</v>
      </c>
      <c r="C6" s="12">
        <f>16/2%</f>
        <v>800</v>
      </c>
      <c r="D6" s="7"/>
      <c r="E6" s="7"/>
      <c r="F6" s="7"/>
      <c r="H6" s="7"/>
      <c r="I6" s="9"/>
      <c r="J6" s="7" t="s">
        <v>47</v>
      </c>
      <c r="K6" s="7" t="s">
        <v>53</v>
      </c>
      <c r="L6" s="7" t="b">
        <f>4&lt;&gt;5</f>
        <v>1</v>
      </c>
      <c r="M6" s="3"/>
      <c r="N6" s="3"/>
      <c r="O6" s="3"/>
      <c r="P6" s="3"/>
      <c r="Q6" s="3"/>
      <c r="S6" s="3"/>
      <c r="T6" s="3"/>
      <c r="U6" s="3"/>
      <c r="V6" s="3"/>
      <c r="W6" s="3"/>
      <c r="X6" s="3"/>
      <c r="Y6" s="3"/>
    </row>
    <row r="7" spans="1:25" ht="18.75" x14ac:dyDescent="0.45">
      <c r="A7" s="7" t="s">
        <v>35</v>
      </c>
      <c r="B7" s="7" t="s">
        <v>39</v>
      </c>
      <c r="C7" s="12">
        <f>8*5</f>
        <v>40</v>
      </c>
      <c r="D7" s="7"/>
      <c r="E7" s="7"/>
      <c r="F7" s="7"/>
      <c r="H7" s="7"/>
      <c r="I7" s="9"/>
      <c r="J7" s="7" t="s">
        <v>48</v>
      </c>
      <c r="K7" s="7" t="s">
        <v>54</v>
      </c>
      <c r="L7" s="7" t="b">
        <f>4=5</f>
        <v>0</v>
      </c>
      <c r="M7" s="3"/>
      <c r="N7" s="3"/>
      <c r="O7" s="3"/>
      <c r="P7" s="3"/>
      <c r="Q7" s="3"/>
      <c r="S7" s="3"/>
      <c r="T7" s="3"/>
      <c r="U7" s="3"/>
      <c r="V7" s="3"/>
      <c r="W7" s="3"/>
      <c r="X7" s="3"/>
      <c r="Y7" s="3"/>
    </row>
    <row r="8" spans="1:25" ht="18.75" x14ac:dyDescent="0.45">
      <c r="A8" s="7"/>
      <c r="B8" s="7"/>
      <c r="C8" s="7"/>
      <c r="D8" s="7"/>
      <c r="E8" s="7"/>
      <c r="F8" s="7"/>
      <c r="G8" s="7"/>
      <c r="H8" s="7"/>
      <c r="I8" s="9"/>
      <c r="J8" s="3"/>
      <c r="K8" s="3"/>
      <c r="L8" s="3"/>
      <c r="M8" s="3"/>
      <c r="N8" s="3"/>
      <c r="O8" s="3"/>
      <c r="P8" s="3"/>
      <c r="Q8" s="3"/>
      <c r="S8" s="3"/>
      <c r="T8" s="3"/>
      <c r="U8" s="3"/>
      <c r="V8" s="3"/>
      <c r="W8" s="3"/>
      <c r="X8" s="3"/>
      <c r="Y8" s="3"/>
    </row>
    <row r="9" spans="1:25" ht="18.75" x14ac:dyDescent="0.45">
      <c r="A9" s="7"/>
      <c r="B9" s="7"/>
      <c r="C9" s="7"/>
      <c r="D9" s="7"/>
      <c r="E9" s="7"/>
      <c r="F9" s="7"/>
      <c r="G9" s="7"/>
      <c r="H9" s="7"/>
      <c r="I9" s="9"/>
      <c r="J9" s="3"/>
      <c r="K9" s="3"/>
      <c r="L9" s="3"/>
      <c r="M9" s="3"/>
      <c r="N9" s="3"/>
      <c r="O9" s="3"/>
      <c r="P9" s="3"/>
      <c r="Q9" s="3"/>
      <c r="S9" s="3"/>
      <c r="T9" s="3"/>
      <c r="U9" s="3"/>
      <c r="V9" s="3"/>
      <c r="W9" s="3"/>
      <c r="X9" s="3"/>
      <c r="Y9" s="3"/>
    </row>
    <row r="10" spans="1:25" ht="18.75" x14ac:dyDescent="0.45">
      <c r="A10" s="7"/>
      <c r="B10" s="7"/>
      <c r="C10" s="7"/>
      <c r="D10" s="7"/>
      <c r="E10" s="7"/>
      <c r="F10" s="7"/>
      <c r="G10" s="7"/>
      <c r="H10" s="7"/>
      <c r="I10" s="9"/>
      <c r="J10" s="3"/>
      <c r="K10" s="3"/>
      <c r="L10" s="3"/>
      <c r="M10" s="3"/>
      <c r="N10" s="3"/>
      <c r="O10" s="3"/>
      <c r="P10" s="3"/>
      <c r="Q10" s="3"/>
      <c r="S10" s="3"/>
      <c r="T10" s="3"/>
      <c r="U10" s="3"/>
      <c r="V10" s="3"/>
      <c r="W10" s="3"/>
      <c r="X10" s="3"/>
      <c r="Y10" s="3"/>
    </row>
    <row r="11" spans="1:25" ht="18.75" x14ac:dyDescent="0.45">
      <c r="A11" s="7"/>
      <c r="B11" s="7"/>
      <c r="C11" s="7"/>
      <c r="D11" s="7"/>
      <c r="E11" s="7"/>
      <c r="F11" s="7"/>
      <c r="G11" s="7"/>
      <c r="H11" s="7"/>
      <c r="I11" s="9"/>
      <c r="J11" s="3"/>
      <c r="K11" s="3"/>
      <c r="L11" s="3"/>
      <c r="M11" s="3"/>
      <c r="N11" s="3"/>
      <c r="O11" s="3"/>
      <c r="P11" s="3"/>
      <c r="Q11" s="3"/>
      <c r="S11" s="3"/>
      <c r="T11" s="3"/>
      <c r="U11" s="3"/>
      <c r="V11" s="3"/>
      <c r="W11" s="3"/>
      <c r="X11" s="3"/>
      <c r="Y11" s="3"/>
    </row>
    <row r="12" spans="1:25" ht="18.75" x14ac:dyDescent="0.45">
      <c r="A12" s="7"/>
      <c r="B12" s="7"/>
      <c r="C12" s="7"/>
      <c r="D12" s="7"/>
      <c r="E12" s="7"/>
      <c r="F12" s="7"/>
      <c r="G12" s="7"/>
      <c r="H12" s="7"/>
      <c r="I12" s="9"/>
      <c r="J12" s="3"/>
      <c r="K12" s="3"/>
      <c r="L12" s="3"/>
      <c r="M12" s="3"/>
      <c r="N12" s="3"/>
      <c r="O12" s="3"/>
      <c r="P12" s="3"/>
      <c r="Q12" s="3"/>
      <c r="S12" s="3"/>
      <c r="T12" s="3"/>
      <c r="U12" s="3"/>
      <c r="V12" s="3"/>
      <c r="W12" s="3"/>
      <c r="X12" s="3"/>
      <c r="Y12" s="3"/>
    </row>
    <row r="13" spans="1:25" ht="18.75" x14ac:dyDescent="0.45">
      <c r="A13" s="7"/>
      <c r="B13" s="7"/>
      <c r="C13" s="7"/>
      <c r="D13" s="7"/>
      <c r="E13" s="7"/>
      <c r="F13" s="7"/>
      <c r="G13" s="7"/>
      <c r="H13" s="7"/>
      <c r="I13" s="9"/>
      <c r="J13" s="3"/>
      <c r="K13" s="3"/>
      <c r="L13" s="3"/>
      <c r="M13" s="3"/>
      <c r="N13" s="3"/>
      <c r="O13" s="3"/>
      <c r="P13" s="3"/>
      <c r="Q13" s="3"/>
      <c r="S13" s="3"/>
      <c r="T13" s="3"/>
      <c r="U13" s="3"/>
      <c r="V13" s="3"/>
      <c r="W13" s="3"/>
      <c r="X13" s="3"/>
      <c r="Y13" s="3"/>
    </row>
    <row r="14" spans="1:25" ht="18.75" x14ac:dyDescent="0.45">
      <c r="A14" s="7"/>
      <c r="B14" s="7"/>
      <c r="C14" s="7"/>
      <c r="D14" s="7"/>
      <c r="E14" s="7"/>
      <c r="F14" s="7"/>
      <c r="G14" s="7"/>
      <c r="H14" s="7"/>
      <c r="I14" s="9"/>
      <c r="J14" s="3"/>
      <c r="K14" s="3"/>
      <c r="L14" s="3"/>
      <c r="M14" s="3"/>
      <c r="N14" s="3"/>
      <c r="O14" s="3"/>
      <c r="P14" s="3"/>
      <c r="Q14" s="3"/>
      <c r="S14" s="3"/>
      <c r="T14" s="3"/>
      <c r="U14" s="3"/>
      <c r="V14" s="3"/>
      <c r="W14" s="3"/>
      <c r="X14" s="3"/>
      <c r="Y14" s="3"/>
    </row>
    <row r="15" spans="1:25" ht="18.75" x14ac:dyDescent="0.45">
      <c r="A15" s="7"/>
      <c r="B15" s="7"/>
      <c r="C15" s="7"/>
      <c r="D15" s="7"/>
      <c r="E15" s="7"/>
      <c r="F15" s="7"/>
      <c r="G15" s="7"/>
      <c r="H15" s="7"/>
      <c r="I15" s="9"/>
      <c r="J15" s="3"/>
      <c r="K15" s="3"/>
      <c r="L15" s="3"/>
      <c r="M15" s="3"/>
      <c r="N15" s="3"/>
      <c r="O15" s="3"/>
      <c r="P15" s="3"/>
      <c r="Q15" s="3"/>
    </row>
    <row r="16" spans="1:25" ht="18.75" x14ac:dyDescent="0.45">
      <c r="A16" s="9"/>
      <c r="B16" s="9"/>
      <c r="C16" s="9"/>
      <c r="D16" s="9"/>
      <c r="E16" s="9"/>
      <c r="F16" s="9"/>
      <c r="G16" s="9"/>
      <c r="H16" s="9"/>
      <c r="I16" s="9"/>
    </row>
    <row r="17" spans="1:9" ht="18.75" x14ac:dyDescent="0.45">
      <c r="A17" s="9"/>
      <c r="B17" s="9"/>
      <c r="C17" s="9"/>
      <c r="D17" s="9"/>
      <c r="E17" s="9"/>
      <c r="F17" s="9"/>
      <c r="G17" s="9"/>
      <c r="H17" s="9"/>
      <c r="I17" s="9"/>
    </row>
    <row r="18" spans="1:9" ht="18.75" x14ac:dyDescent="0.45">
      <c r="A18" s="9"/>
      <c r="B18" s="9"/>
      <c r="C18" s="9"/>
      <c r="D18" s="9"/>
      <c r="E18" s="9"/>
      <c r="F18" s="9"/>
      <c r="G18" s="9"/>
      <c r="H18" s="9"/>
      <c r="I1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جدول</vt:lpstr>
      <vt:lpstr>فاکتور</vt:lpstr>
      <vt:lpstr>کارنامه</vt:lpstr>
      <vt:lpstr>arya5</vt:lpstr>
      <vt:lpstr>عملگرد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</dc:creator>
  <cp:lastModifiedBy>Station</cp:lastModifiedBy>
  <dcterms:created xsi:type="dcterms:W3CDTF">2025-07-09T14:35:45Z</dcterms:created>
  <dcterms:modified xsi:type="dcterms:W3CDTF">2025-07-16T16:23:36Z</dcterms:modified>
</cp:coreProperties>
</file>